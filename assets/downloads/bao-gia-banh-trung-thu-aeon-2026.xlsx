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b48b8e32c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giá" sheetId="1" r:id="Rabd1ffe874e54e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7B1831"/>
      <x:name val="Carlito"/>
    </x:font>
    <x:font>
      <x:sz val="10"/>
      <x:color rgb="FF6E6967"/>
      <x:name val="Carlito"/>
    </x:font>
    <x:font>
      <x:b/>
      <x:sz val="11"/>
      <x:color rgb="FFFFFFFF"/>
      <x:name val="Carlito"/>
    </x:font>
    <x:font>
      <x:b/>
      <x:sz val="11"/>
      <x:color rgb="FF7B183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72D58"/>
      </x:patternFill>
    </x:fill>
    <x:fill>
      <x:patternFill patternType="solid">
        <x:fgColor rgb="FFFFE7EC"/>
      </x:patternFill>
    </x:fill>
    <x:fill>
      <x:patternFill patternType="solid">
        <x:fgColor rgb="FF7B1831"/>
      </x:patternFill>
    </x:fill>
  </x:fills>
  <x:borders count="7">
    <x:border/>
    <x:border>
      <x:right style="thin">
        <x:color rgb="FFF3CAD4"/>
      </x:right>
    </x:border>
    <x:border>
      <x:left style="thin">
        <x:color rgb="FFF3CAD4"/>
      </x:left>
      <x:right style="thin">
        <x:color rgb="FFF3CAD4"/>
      </x:right>
    </x:border>
    <x:border>
      <x:left style="thin">
        <x:color rgb="FFF3CAD4"/>
      </x:left>
    </x:border>
    <x:border>
      <x:bottom style="thin">
        <x:color rgb="FFE8D9DD"/>
      </x:bottom>
    </x:border>
    <x:border>
      <x:top style="thin">
        <x:color rgb="FFE8D9DD"/>
      </x:top>
      <x:bottom style="thin">
        <x:color rgb="FFE8D9DD"/>
      </x:bottom>
    </x:border>
    <x:border>
      <x:bottom style="double">
        <x:color rgb="FFD72D58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left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horizontal="right" vertical="center"/>
    </x:xf>
    <x:xf numFmtId="200" fontId="0" fillId="0" borderId="5" xfId="0" applyNumberFormat="1" applyFont="1" applyFill="1" applyBorder="1" applyAlignment="1">
      <x:alignment horizontal="right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6" xfId="0" applyNumberFormat="1" applyFont="1" applyFill="1" applyBorder="1"/>
    <x:xf numFmtId="0" fontId="5" fillId="3" borderId="6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horizontal="left" vertical="center"/>
    </x:xf>
    <x:xf numFmtId="0" fontId="5" fillId="3" borderId="6" xfId="0" applyNumberFormat="1" applyFont="1" applyFill="1" applyBorder="1" applyAlignment="1">
      <x:alignment horizontal="right" vertical="center"/>
    </x:xf>
    <x:xf numFmtId="200" fontId="5" fillId="3" borderId="6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dc0ced69f4adc" /><Relationship Type="http://schemas.openxmlformats.org/officeDocument/2006/relationships/theme" Target="/xl/theme/theme1.xml" Id="R033a7e9aa880498a" /><Relationship Type="http://schemas.openxmlformats.org/officeDocument/2006/relationships/sharedStrings" Target="/xl/sharedStrings.xml" Id="R38048f1dd9c049c5" /><Relationship Type="http://schemas.openxmlformats.org/officeDocument/2006/relationships/worksheet" Target="/xl/worksheets/sheet1.xml" Id="Rabd1ffe874e54e09" /></Relationships>
</file>

<file path=xl/tables/table1.xml><?xml version="1.0" encoding="utf-8"?>
<x:table xmlns:x="http://schemas.openxmlformats.org/spreadsheetml/2006/main" id="1" name="BangBaoGia" displayName="BangBaoGia" ref="A5:H18" headerRowCount="1" totalsRowCount="0" totalsRowShown="0">
  <x:autoFilter ref="A5:H18"/>
  <x:tableColumns count="8">
    <x:tableColumn id="1" name="STT"/>
    <x:tableColumn id="2" name="Thương hiệu"/>
    <x:tableColumn id="3" name="Tên sản phẩm"/>
    <x:tableColumn id="4" name="Quy cách / Lựa chọn"/>
    <x:tableColumn id="5" name="SKU"/>
    <x:tableColumn id="6" name="Đơn giá (VNĐ)"/>
    <x:tableColumn id="7" name="Số lượng"/>
    <x:tableColumn id="8" name="Thành tiền (VNĐ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f4b25469c047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36" hidden="0" customWidth="1"/>
    <x:col min="4" max="4" width="24" hidden="0" customWidth="1"/>
    <x:col min="5" max="5" width="18" hidden="0" customWidth="1"/>
    <x:col min="6" max="6" width="18" hidden="0" customWidth="1"/>
    <x:col min="7" max="7" width="12" hidden="0" customWidth="1"/>
    <x:col min="8" max="8" width="22" hidden="0" customWidth="1"/>
  </x:cols>
  <x:sheetData>
    <x:row r="1" ht="34" customHeight="1">
      <x:c r="A1" s="4" t="str">
        <x:v>BÁO GIÁ BÁNH TRUNG THU AEON 2026</x:v>
      </x:c>
      <x:c r="B1" s="4"/>
      <x:c r="C1" s="4"/>
      <x:c r="D1" s="4"/>
      <x:c r="E1" s="4"/>
      <x:c r="F1" s="4"/>
      <x:c r="G1" s="4"/>
      <x:c r="H1" s="4"/>
    </x:row>
    <x:row r="2" ht="32" customHeight="1">
      <x:c r="A2" s="9" t="str">
        <x:v>Cập nhật ngày 01/08/2026 · Ưu đãi mùa trăng: 03–19/08: giảm 8% từ 1 triệu · 20/08–25/09: giảm 5–15% từ 3 triệu</x:v>
      </x:c>
      <x:c r="B2" s="9"/>
      <x:c r="C2" s="9"/>
      <x:c r="D2" s="9"/>
      <x:c r="E2" s="9"/>
      <x:c r="F2" s="9"/>
      <x:c r="G2" s="9"/>
      <x:c r="H2" s="9"/>
    </x:row>
    <x:row r="3" ht="28" customHeight="1">
      <x:c r="A3" s="13" t="str">
        <x:v>Đơn giá tính bằng VNĐ. Nhập số lượng để Excel tự tính thành tiền. Giá và chương trình ưu đãi được xác nhận tại thời điểm đặt hàng.</x:v>
      </x:c>
      <x:c r="B3" s="13"/>
      <x:c r="C3" s="13"/>
      <x:c r="D3" s="13"/>
      <x:c r="E3" s="13"/>
      <x:c r="F3" s="13"/>
      <x:c r="G3" s="13"/>
      <x:c r="H3" s="13"/>
    </x:row>
    <x:row r="5" ht="30" customHeight="1">
      <x:c r="A5" s="25" t="str">
        <x:v>STT</x:v>
      </x:c>
      <x:c r="B5" s="26" t="str">
        <x:v>Thương hiệu</x:v>
      </x:c>
      <x:c r="C5" s="26" t="str">
        <x:v>Tên sản phẩm</x:v>
      </x:c>
      <x:c r="D5" s="26" t="str">
        <x:v>Quy cách / Lựa chọn</x:v>
      </x:c>
      <x:c r="E5" s="26" t="str">
        <x:v>SKU</x:v>
      </x:c>
      <x:c r="F5" s="26" t="str">
        <x:v>Đơn giá (VNĐ)</x:v>
      </x:c>
      <x:c r="G5" s="26" t="str">
        <x:v>Số lượng</x:v>
      </x:c>
      <x:c r="H5" s="27" t="str">
        <x:v>Thành tiền (VNĐ)</x:v>
      </x:c>
    </x:row>
    <x:row r="6" ht="15" hidden="0" customHeight="1">
      <x:c r="A6" s="38" t="n">
        <x:v>1</x:v>
      </x:c>
      <x:c r="B6" s="32" t="str">
        <x:v>Maison</x:v>
      </x:c>
      <x:c r="C6" s="32" t="str">
        <x:v>HỘP BÁNH TRUNG THU LÔI CUỐN 2 120GX5</x:v>
      </x:c>
      <x:c r="D6" s="32" t="str"/>
      <x:c r="E6" s="32" t="str"/>
      <x:c r="F6" s="36" t="n">
        <x:v>1290000</x:v>
      </x:c>
      <x:c r="G6" s="36"/>
      <x:c r="H6" s="36" t="str">
        <x:f>IF(OR(F6="",G6=""),"",F6*G6)</x:f>
      </x:c>
    </x:row>
    <x:row r="7" ht="15" hidden="0" customHeight="1">
      <x:c r="A7" s="39" t="n">
        <x:v>2</x:v>
      </x:c>
      <x:c r="B7" s="33" t="str">
        <x:v>Maison</x:v>
      </x:c>
      <x:c r="C7" s="33" t="str">
        <x:v>bánh trung thu 1</x:v>
      </x:c>
      <x:c r="D7" s="33" t="str"/>
      <x:c r="E7" s="33" t="str"/>
      <x:c r="F7" s="37" t="n">
        <x:v>1234</x:v>
      </x:c>
      <x:c r="G7" s="37"/>
      <x:c r="H7" s="37" t="str">
        <x:f>IF(OR(F7="",G7=""),"",F7*G7)</x:f>
      </x:c>
    </x:row>
    <x:row r="8" ht="15" hidden="0" customHeight="1">
      <x:c r="A8" s="39" t="n">
        <x:v>3</x:v>
      </x:c>
      <x:c r="B8" s="33" t="str">
        <x:v>Maison</x:v>
      </x:c>
      <x:c r="C8" s="33" t="str">
        <x:v>bánh trung thu 2</x:v>
      </x:c>
      <x:c r="D8" s="33" t="str"/>
      <x:c r="E8" s="33" t="str"/>
      <x:c r="F8" s="37" t="n">
        <x:v>1234</x:v>
      </x:c>
      <x:c r="G8" s="37"/>
      <x:c r="H8" s="37" t="str">
        <x:f>IF(OR(F8="",G8=""),"",F8*G8)</x:f>
      </x:c>
    </x:row>
    <x:row r="9" ht="15" hidden="0" customHeight="1">
      <x:c r="A9" s="39" t="n">
        <x:v>4</x:v>
      </x:c>
      <x:c r="B9" s="33" t="str">
        <x:v>Maison</x:v>
      </x:c>
      <x:c r="C9" s="33" t="str">
        <x:v>bánh trung thu 3</x:v>
      </x:c>
      <x:c r="D9" s="33" t="str"/>
      <x:c r="E9" s="33" t="str"/>
      <x:c r="F9" s="37" t="n">
        <x:v>1234</x:v>
      </x:c>
      <x:c r="G9" s="37"/>
      <x:c r="H9" s="37" t="str">
        <x:f>IF(OR(F9="",G9=""),"",F9*G9)</x:f>
      </x:c>
    </x:row>
    <x:row r="10" ht="15" hidden="0" customHeight="1">
      <x:c r="A10" s="39" t="n">
        <x:v>5</x:v>
      </x:c>
      <x:c r="B10" s="33" t="str">
        <x:v>Maison</x:v>
      </x:c>
      <x:c r="C10" s="33" t="str">
        <x:v>bánh trung thu 4</x:v>
      </x:c>
      <x:c r="D10" s="33" t="str"/>
      <x:c r="E10" s="33" t="str"/>
      <x:c r="F10" s="37" t="n">
        <x:v>1234</x:v>
      </x:c>
      <x:c r="G10" s="37"/>
      <x:c r="H10" s="37" t="str">
        <x:f>IF(OR(F10="",G10=""),"",F10*G10)</x:f>
      </x:c>
    </x:row>
    <x:row r="11" ht="15" hidden="0" customHeight="1">
      <x:c r="A11" s="39" t="n">
        <x:v>6</x:v>
      </x:c>
      <x:c r="B11" s="33" t="str">
        <x:v>Maison</x:v>
      </x:c>
      <x:c r="C11" s="33" t="str">
        <x:v>bánh trung thu 5</x:v>
      </x:c>
      <x:c r="D11" s="33" t="str"/>
      <x:c r="E11" s="33" t="str"/>
      <x:c r="F11" s="37" t="n">
        <x:v>1234</x:v>
      </x:c>
      <x:c r="G11" s="37"/>
      <x:c r="H11" s="37" t="str">
        <x:f>IF(OR(F11="",G11=""),"",F11*G11)</x:f>
      </x:c>
    </x:row>
    <x:row r="12" ht="15" hidden="0" customHeight="1">
      <x:c r="A12" s="39" t="n">
        <x:v>7</x:v>
      </x:c>
      <x:c r="B12" s="33" t="str">
        <x:v>Maison</x:v>
      </x:c>
      <x:c r="C12" s="33" t="str">
        <x:v>bánh trung thu 6</x:v>
      </x:c>
      <x:c r="D12" s="33" t="str"/>
      <x:c r="E12" s="33" t="str"/>
      <x:c r="F12" s="37" t="n">
        <x:v>1234</x:v>
      </x:c>
      <x:c r="G12" s="37"/>
      <x:c r="H12" s="37" t="str">
        <x:f>IF(OR(F12="",G12=""),"",F12*G12)</x:f>
      </x:c>
    </x:row>
    <x:row r="13" ht="15" hidden="0" customHeight="1">
      <x:c r="A13" s="39" t="n">
        <x:v>8</x:v>
      </x:c>
      <x:c r="B13" s="33" t="str">
        <x:v>Maison</x:v>
      </x:c>
      <x:c r="C13" s="33" t="str">
        <x:v>bánh trung thu 7</x:v>
      </x:c>
      <x:c r="D13" s="33" t="str"/>
      <x:c r="E13" s="33" t="str"/>
      <x:c r="F13" s="37" t="n">
        <x:v>1234</x:v>
      </x:c>
      <x:c r="G13" s="37"/>
      <x:c r="H13" s="37" t="str">
        <x:f>IF(OR(F13="",G13=""),"",F13*G13)</x:f>
      </x:c>
    </x:row>
    <x:row r="14" ht="15" hidden="0" customHeight="1">
      <x:c r="A14" s="39" t="n">
        <x:v>9</x:v>
      </x:c>
      <x:c r="B14" s="33" t="str">
        <x:v>Maison</x:v>
      </x:c>
      <x:c r="C14" s="33" t="str">
        <x:v>bánh trung thu 8</x:v>
      </x:c>
      <x:c r="D14" s="33" t="str"/>
      <x:c r="E14" s="33" t="str"/>
      <x:c r="F14" s="37" t="n">
        <x:v>1234</x:v>
      </x:c>
      <x:c r="G14" s="37"/>
      <x:c r="H14" s="37" t="str">
        <x:f>IF(OR(F14="",G14=""),"",F14*G14)</x:f>
      </x:c>
    </x:row>
    <x:row r="15" ht="15" hidden="0" customHeight="1">
      <x:c r="A15" s="39" t="n">
        <x:v>10</x:v>
      </x:c>
      <x:c r="B15" s="33" t="str">
        <x:v>Maison</x:v>
      </x:c>
      <x:c r="C15" s="33" t="str">
        <x:v>bánh trung thu 9</x:v>
      </x:c>
      <x:c r="D15" s="33" t="str"/>
      <x:c r="E15" s="33" t="str"/>
      <x:c r="F15" s="37" t="n">
        <x:v>1234</x:v>
      </x:c>
      <x:c r="G15" s="37"/>
      <x:c r="H15" s="37" t="str">
        <x:f>IF(OR(F15="",G15=""),"",F15*G15)</x:f>
      </x:c>
    </x:row>
    <x:row r="16" ht="15" hidden="0" customHeight="1">
      <x:c r="A16" s="39" t="n">
        <x:v>11</x:v>
      </x:c>
      <x:c r="B16" s="33" t="str">
        <x:v>Maison</x:v>
      </x:c>
      <x:c r="C16" s="33" t="str">
        <x:v>bánh trung thu 10</x:v>
      </x:c>
      <x:c r="D16" s="33" t="str"/>
      <x:c r="E16" s="33" t="str"/>
      <x:c r="F16" s="37" t="n">
        <x:v>1234</x:v>
      </x:c>
      <x:c r="G16" s="37"/>
      <x:c r="H16" s="37" t="str">
        <x:f>IF(OR(F16="",G16=""),"",F16*G16)</x:f>
      </x:c>
    </x:row>
    <x:row r="17" ht="15" hidden="0" customHeight="1">
      <x:c r="A17" s="39" t="n">
        <x:v>12</x:v>
      </x:c>
      <x:c r="B17" s="33" t="str">
        <x:v>Maison</x:v>
      </x:c>
      <x:c r="C17" s="33" t="str">
        <x:v>bánh trung thu 11</x:v>
      </x:c>
      <x:c r="D17" s="33" t="str"/>
      <x:c r="E17" s="33" t="str"/>
      <x:c r="F17" s="37" t="n">
        <x:v>1234</x:v>
      </x:c>
      <x:c r="G17" s="37"/>
      <x:c r="H17" s="37" t="str">
        <x:f>IF(OR(F17="",G17=""),"",F17*G17)</x:f>
      </x:c>
    </x:row>
    <x:row r="18" ht="15" hidden="0" customHeight="1">
      <x:c r="A18" s="39" t="n">
        <x:v>13</x:v>
      </x:c>
      <x:c r="B18" s="33" t="str">
        <x:v>Maison</x:v>
      </x:c>
      <x:c r="C18" s="33" t="str">
        <x:v>bánh trung thu 12</x:v>
      </x:c>
      <x:c r="D18" s="33" t="str"/>
      <x:c r="E18" s="33" t="str"/>
      <x:c r="F18" s="37" t="n">
        <x:v>1234</x:v>
      </x:c>
      <x:c r="G18" s="37"/>
      <x:c r="H18" s="37" t="str">
        <x:f>IF(OR(F18="",G18=""),"",F18*G18)</x:f>
      </x:c>
    </x:row>
    <x:row r="20" ht="28" customHeight="1">
      <x:c r="A20" s="43" t="str">
        <x:v>TỔNG GIÁ TRỊ DỰ KIẾN</x:v>
      </x:c>
      <x:c r="B20" s="43" t="str">
        <x:v>TỔNG GIÁ TRỊ DỰ KIẾN</x:v>
      </x:c>
      <x:c r="C20" s="43" t="str">
        <x:v>TỔNG GIÁ TRỊ DỰ KIẾN</x:v>
      </x:c>
      <x:c r="D20" s="43" t="str">
        <x:v>TỔNG GIÁ TRỊ DỰ KIẾN</x:v>
      </x:c>
      <x:c r="E20" s="43" t="str">
        <x:v>TỔNG GIÁ TRỊ DỰ KIẾN</x:v>
      </x:c>
      <x:c r="F20" s="43" t="str">
        <x:v>TỔNG GIÁ TRỊ DỰ KIẾN</x:v>
      </x:c>
      <x:c r="G20" s="44" t="str">
        <x:v>Tổng cộng</x:v>
      </x:c>
      <x:c r="H20" s="45" t="n">
        <x:f>SUM(H6:H18)</x:f>
        <x:v>0</x:v>
      </x:c>
    </x:row>
  </x:sheetData>
  <x:mergeCells>
    <x:mergeCell ref="A1:H1"/>
    <x:mergeCell ref="A2:H2"/>
    <x:mergeCell ref="A3:H3"/>
    <x:mergeCell ref="A20:F20"/>
  </x:mergeCells>
  <x:dataValidations count="1">
    <x:dataValidation type="whole" operator="between" sqref="G6:G18">
      <x:formula1>0</x:formula1>
      <x:formula2>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0f4b25469c04784"/>
  </x:tableParts>
</x:worksheet>
</file>